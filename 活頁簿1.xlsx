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麒.DESKTOP-1UB2G8O\Desktop\"/>
    </mc:Choice>
  </mc:AlternateContent>
  <xr:revisionPtr revIDLastSave="0" documentId="8_{7B46516B-D3AF-4FCA-B576-80311A9A8EAD}" xr6:coauthVersionLast="47" xr6:coauthVersionMax="47" xr10:uidLastSave="{00000000-0000-0000-0000-000000000000}"/>
  <bookViews>
    <workbookView xWindow="-110" yWindow="-110" windowWidth="19420" windowHeight="10300" xr2:uid="{4DDC64A3-B631-4245-9A70-CEA3CDC21FBF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E47" i="1"/>
  <c r="C47" i="1"/>
  <c r="F46" i="1"/>
  <c r="E46" i="1"/>
  <c r="C46" i="1"/>
  <c r="F45" i="1"/>
  <c r="E45" i="1"/>
  <c r="C45" i="1"/>
  <c r="F44" i="1"/>
  <c r="E44" i="1"/>
  <c r="C44" i="1"/>
  <c r="F43" i="1"/>
  <c r="E43" i="1"/>
  <c r="C43" i="1"/>
  <c r="F42" i="1"/>
  <c r="E42" i="1"/>
  <c r="C42" i="1"/>
  <c r="F41" i="1"/>
  <c r="E41" i="1"/>
  <c r="E40" i="1"/>
  <c r="F40" i="1" s="1"/>
  <c r="C40" i="1"/>
  <c r="E39" i="1"/>
  <c r="F39" i="1" s="1"/>
  <c r="C39" i="1"/>
  <c r="E38" i="1"/>
  <c r="F38" i="1" s="1"/>
  <c r="F37" i="1"/>
  <c r="E37" i="1"/>
  <c r="C37" i="1"/>
  <c r="E36" i="1"/>
  <c r="F36" i="1" s="1"/>
  <c r="C36" i="1"/>
  <c r="F35" i="1"/>
  <c r="E35" i="1"/>
  <c r="C35" i="1"/>
  <c r="E34" i="1"/>
  <c r="F34" i="1" s="1"/>
  <c r="C34" i="1"/>
  <c r="F33" i="1"/>
  <c r="E33" i="1"/>
  <c r="E32" i="1"/>
  <c r="F32" i="1" s="1"/>
  <c r="C32" i="1"/>
  <c r="E31" i="1"/>
  <c r="F31" i="1" s="1"/>
  <c r="C31" i="1"/>
  <c r="E30" i="1"/>
  <c r="F30" i="1" s="1"/>
  <c r="C30" i="1"/>
  <c r="E29" i="1"/>
  <c r="F29" i="1" s="1"/>
  <c r="F28" i="1"/>
  <c r="E28" i="1" s="1"/>
  <c r="E27" i="1"/>
  <c r="F27" i="1" s="1"/>
  <c r="C27" i="1"/>
  <c r="E26" i="1"/>
  <c r="F26" i="1" s="1"/>
  <c r="C26" i="1"/>
  <c r="E25" i="1"/>
  <c r="F25" i="1" s="1"/>
  <c r="C25" i="1"/>
  <c r="E24" i="1"/>
  <c r="F24" i="1" s="1"/>
  <c r="C24" i="1"/>
  <c r="E23" i="1"/>
  <c r="F23" i="1" s="1"/>
  <c r="C23" i="1"/>
  <c r="E22" i="1"/>
  <c r="F22" i="1" s="1"/>
  <c r="C22" i="1"/>
  <c r="E21" i="1"/>
  <c r="F21" i="1" s="1"/>
  <c r="C21" i="1"/>
  <c r="E20" i="1"/>
  <c r="F20" i="1" s="1"/>
  <c r="C20" i="1"/>
  <c r="E19" i="1"/>
  <c r="F19" i="1" s="1"/>
  <c r="C19" i="1"/>
  <c r="E18" i="1"/>
  <c r="F18" i="1" s="1"/>
  <c r="E17" i="1"/>
  <c r="F17" i="1" s="1"/>
  <c r="C17" i="1"/>
  <c r="F16" i="1"/>
  <c r="E16" i="1"/>
  <c r="C16" i="1"/>
  <c r="E15" i="1"/>
  <c r="F15" i="1" s="1"/>
  <c r="E14" i="1"/>
  <c r="F14" i="1" s="1"/>
  <c r="C14" i="1"/>
  <c r="E13" i="1"/>
  <c r="C13" i="1"/>
  <c r="F13" i="1" s="1"/>
  <c r="E12" i="1"/>
  <c r="F12" i="1" s="1"/>
  <c r="C12" i="1"/>
  <c r="F11" i="1"/>
  <c r="E11" i="1"/>
  <c r="F10" i="1"/>
  <c r="E10" i="1"/>
  <c r="C10" i="1"/>
  <c r="F9" i="1"/>
  <c r="E9" i="1"/>
  <c r="C9" i="1"/>
  <c r="F8" i="1"/>
  <c r="E8" i="1"/>
  <c r="C8" i="1"/>
  <c r="F7" i="1"/>
  <c r="E7" i="1"/>
  <c r="C7" i="1"/>
  <c r="F6" i="1"/>
  <c r="E6" i="1"/>
  <c r="C6" i="1"/>
  <c r="F5" i="1"/>
  <c r="E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E4" i="1"/>
  <c r="F4" i="1" s="1"/>
  <c r="C4" i="1"/>
</calcChain>
</file>

<file path=xl/sharedStrings.xml><?xml version="1.0" encoding="utf-8"?>
<sst xmlns="http://schemas.openxmlformats.org/spreadsheetml/2006/main" count="159" uniqueCount="73">
  <si>
    <t>202603半成品成本表:</t>
    <phoneticPr fontId="3" type="noConversion"/>
  </si>
  <si>
    <t>項目</t>
    <phoneticPr fontId="3" type="noConversion"/>
  </si>
  <si>
    <t>材料名稱</t>
    <phoneticPr fontId="3" type="noConversion"/>
  </si>
  <si>
    <t>數量</t>
    <phoneticPr fontId="3" type="noConversion"/>
  </si>
  <si>
    <t>價格</t>
    <phoneticPr fontId="3" type="noConversion"/>
  </si>
  <si>
    <t>平均售價</t>
    <phoneticPr fontId="3" type="noConversion"/>
  </si>
  <si>
    <t>供應商</t>
    <phoneticPr fontId="3" type="noConversion"/>
  </si>
  <si>
    <t>備註</t>
    <phoneticPr fontId="3" type="noConversion"/>
  </si>
  <si>
    <t>黑胡椒醬+調粉</t>
    <phoneticPr fontId="3" type="noConversion"/>
  </si>
  <si>
    <t>份</t>
    <phoneticPr fontId="3" type="noConversion"/>
  </si>
  <si>
    <t>元/份</t>
    <phoneticPr fontId="3" type="noConversion"/>
  </si>
  <si>
    <t>青沄</t>
    <phoneticPr fontId="3" type="noConversion"/>
  </si>
  <si>
    <t>調粉(一般+香蒜粉)</t>
    <phoneticPr fontId="3" type="noConversion"/>
  </si>
  <si>
    <t>醬油膏</t>
    <phoneticPr fontId="3" type="noConversion"/>
  </si>
  <si>
    <t>g</t>
    <phoneticPr fontId="3" type="noConversion"/>
  </si>
  <si>
    <t>元/g</t>
    <phoneticPr fontId="3" type="noConversion"/>
  </si>
  <si>
    <t>4.5罐塑膠瓶</t>
    <phoneticPr fontId="3" type="noConversion"/>
  </si>
  <si>
    <t>青醬包+調味品</t>
    <phoneticPr fontId="3" type="noConversion"/>
  </si>
  <si>
    <t>紅醬包+調味品</t>
    <phoneticPr fontId="3" type="noConversion"/>
  </si>
  <si>
    <t>白醬包+調味品</t>
    <phoneticPr fontId="3" type="noConversion"/>
  </si>
  <si>
    <t>義大利麵</t>
    <phoneticPr fontId="3" type="noConversion"/>
  </si>
  <si>
    <t>175g/份</t>
    <phoneticPr fontId="3" type="noConversion"/>
  </si>
  <si>
    <t>有機黎麥飯</t>
    <phoneticPr fontId="3" type="noConversion"/>
  </si>
  <si>
    <t>花蛤調味品</t>
    <phoneticPr fontId="3" type="noConversion"/>
  </si>
  <si>
    <t>g/份</t>
    <phoneticPr fontId="3" type="noConversion"/>
  </si>
  <si>
    <t>1平匙=2g/碗(1/2平匙)</t>
    <phoneticPr fontId="3" type="noConversion"/>
  </si>
  <si>
    <t>鹽水</t>
    <phoneticPr fontId="3" type="noConversion"/>
  </si>
  <si>
    <t>20g調味品+350g過濾水</t>
    <phoneticPr fontId="3" type="noConversion"/>
  </si>
  <si>
    <t>番茄沙拉醬</t>
    <phoneticPr fontId="3" type="noConversion"/>
  </si>
  <si>
    <t>清檸合風醬</t>
    <phoneticPr fontId="3" type="noConversion"/>
  </si>
  <si>
    <t>高麗菜罐</t>
    <phoneticPr fontId="3" type="noConversion"/>
  </si>
  <si>
    <t>脆薯</t>
    <phoneticPr fontId="3" type="noConversion"/>
  </si>
  <si>
    <t>鮪魚玉米</t>
    <phoneticPr fontId="3" type="noConversion"/>
  </si>
  <si>
    <t>花生香油醬</t>
    <phoneticPr fontId="3" type="noConversion"/>
  </si>
  <si>
    <t>雞條</t>
    <phoneticPr fontId="3" type="noConversion"/>
  </si>
  <si>
    <t>梅花豬片</t>
    <phoneticPr fontId="3" type="noConversion"/>
  </si>
  <si>
    <t>草原牛</t>
    <phoneticPr fontId="3" type="noConversion"/>
  </si>
  <si>
    <t>百香果汁</t>
    <phoneticPr fontId="3" type="noConversion"/>
  </si>
  <si>
    <t>檸檬汁</t>
    <phoneticPr fontId="3" type="noConversion"/>
  </si>
  <si>
    <t>牛肋條醬+調粉</t>
    <phoneticPr fontId="3" type="noConversion"/>
  </si>
  <si>
    <t>梅花豬醬+調粉</t>
    <phoneticPr fontId="3" type="noConversion"/>
  </si>
  <si>
    <t>冬瓜飲</t>
    <phoneticPr fontId="3" type="noConversion"/>
  </si>
  <si>
    <t>洛神花乾</t>
    <phoneticPr fontId="3" type="noConversion"/>
  </si>
  <si>
    <t>花蛤包</t>
    <phoneticPr fontId="3" type="noConversion"/>
  </si>
  <si>
    <t>地瓜</t>
    <phoneticPr fontId="3" type="noConversion"/>
  </si>
  <si>
    <t>醬燒雞腿</t>
    <phoneticPr fontId="3" type="noConversion"/>
  </si>
  <si>
    <t>菇菇</t>
    <phoneticPr fontId="3" type="noConversion"/>
  </si>
  <si>
    <t>雞條調味粉</t>
    <phoneticPr fontId="3" type="noConversion"/>
  </si>
  <si>
    <t>油炸物(吸+耗油)</t>
    <phoneticPr fontId="3" type="noConversion"/>
  </si>
  <si>
    <t>肉醬包</t>
    <phoneticPr fontId="3" type="noConversion"/>
  </si>
  <si>
    <t>包</t>
    <phoneticPr fontId="3" type="noConversion"/>
  </si>
  <si>
    <t>松子粒</t>
    <phoneticPr fontId="3" type="noConversion"/>
  </si>
  <si>
    <t>起司片</t>
    <phoneticPr fontId="3" type="noConversion"/>
  </si>
  <si>
    <t>片</t>
    <phoneticPr fontId="3" type="noConversion"/>
  </si>
  <si>
    <t>蛋餅皮</t>
    <phoneticPr fontId="3" type="noConversion"/>
  </si>
  <si>
    <t>1份=2片</t>
    <phoneticPr fontId="3" type="noConversion"/>
  </si>
  <si>
    <t>薯餅</t>
    <phoneticPr fontId="3" type="noConversion"/>
  </si>
  <si>
    <t>元/片</t>
    <phoneticPr fontId="3" type="noConversion"/>
  </si>
  <si>
    <t>蘿蔔糕</t>
    <phoneticPr fontId="3" type="noConversion"/>
  </si>
  <si>
    <t>吐司</t>
    <phoneticPr fontId="3" type="noConversion"/>
  </si>
  <si>
    <t>1份=3片</t>
  </si>
  <si>
    <t>雞胸</t>
    <phoneticPr fontId="3" type="noConversion"/>
  </si>
  <si>
    <t>烏麵</t>
    <phoneticPr fontId="3" type="noConversion"/>
  </si>
  <si>
    <t>元/包</t>
    <phoneticPr fontId="3" type="noConversion"/>
  </si>
  <si>
    <t>豆漿</t>
    <phoneticPr fontId="3" type="noConversion"/>
  </si>
  <si>
    <t>元/杯</t>
    <phoneticPr fontId="3" type="noConversion"/>
  </si>
  <si>
    <t>鳳梨汁</t>
    <phoneticPr fontId="3" type="noConversion"/>
  </si>
  <si>
    <t>玉米筍</t>
    <phoneticPr fontId="3" type="noConversion"/>
  </si>
  <si>
    <t>1包</t>
    <phoneticPr fontId="3" type="noConversion"/>
  </si>
  <si>
    <t>花椰</t>
    <phoneticPr fontId="3" type="noConversion"/>
  </si>
  <si>
    <t>(意麵/燉飯4份)(飯3份)(小沙拉3份)(大沙拉套餐4份)</t>
    <phoneticPr fontId="3" type="noConversion"/>
  </si>
  <si>
    <t>沙拉</t>
    <phoneticPr fontId="3" type="noConversion"/>
  </si>
  <si>
    <t>(吐司3份)(番茄沙醬3份)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</si>
</sst>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0_ "/>
    <numFmt numFmtId="178" formatCode="0.00_ "/>
    <numFmt numFmtId="179" formatCode="0.0"/>
  </numFmts>
  <fonts count="6" x14ac:knownFonts="1">
    <font>
      <sz val="12"/>
      <color theme="1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4"/>
      <name val="新細明體"/>
      <family val="1"/>
      <charset val="136"/>
    </font>
    <font>
      <sz val="12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79" fontId="1" fillId="2" borderId="5" xfId="0" applyNumberFormat="1" applyFont="1" applyFill="1" applyBorder="1" applyAlignment="1">
      <alignment horizontal="center"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594;.DESKTOP-1UB2G8O\Desktop\&#39184;&#24307;\20260319&#32317;&#34920;%20(&#20381;&#39135;&#26448;&#21407;&#20729;&#35336;&#31639;&#25104;&#26412;).xlsx" TargetMode="External"/><Relationship Id="rId1" Type="http://schemas.openxmlformats.org/officeDocument/2006/relationships/externalLinkPath" Target="&#39184;&#24307;/20260319&#32317;&#34920;%20(&#20381;&#39135;&#26448;&#21407;&#20729;&#35336;&#31639;&#25104;&#264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醬汁飯與燴飯"/>
      <sheetName val="梅豬牛肋丼飯"/>
      <sheetName val="炒烏龍麵 "/>
      <sheetName val="綜合沙拉"/>
      <sheetName val="套餐利潤表"/>
      <sheetName val="飲品配方與利潤"/>
      <sheetName val="蘿蔔糕套餐"/>
      <sheetName val="利潤總表"/>
      <sheetName val="虎皮蛋餅利潤)"/>
      <sheetName val="吐司果醬吐司"/>
      <sheetName val="點心"/>
      <sheetName val=" 義大利麵與燉飯"/>
      <sheetName val="食,耗,包材成本"/>
      <sheetName val="半成品配方"/>
      <sheetName val="半成品成本表"/>
      <sheetName val="工作表2"/>
      <sheetName val="工作表1"/>
      <sheetName val="提供給點餐系統成本計算"/>
    </sheetNames>
    <sheetDataSet>
      <sheetData sheetId="0"/>
      <sheetData sheetId="1"/>
      <sheetData sheetId="2"/>
      <sheetData sheetId="3"/>
      <sheetData sheetId="4"/>
      <sheetData sheetId="5">
        <row r="200">
          <cell r="G200">
            <v>63.573333333333338</v>
          </cell>
        </row>
        <row r="201">
          <cell r="C201">
            <v>20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4">
          <cell r="C4">
            <v>24</v>
          </cell>
          <cell r="G4">
            <v>38</v>
          </cell>
        </row>
        <row r="9">
          <cell r="C9">
            <v>1600</v>
          </cell>
          <cell r="G9">
            <v>180</v>
          </cell>
        </row>
        <row r="10">
          <cell r="G10">
            <v>250</v>
          </cell>
        </row>
        <row r="18">
          <cell r="E18">
            <v>100</v>
          </cell>
          <cell r="G18">
            <v>1170</v>
          </cell>
        </row>
        <row r="20">
          <cell r="C20">
            <v>1000</v>
          </cell>
          <cell r="G20">
            <v>95</v>
          </cell>
        </row>
        <row r="21">
          <cell r="C21">
            <v>600</v>
          </cell>
          <cell r="G21">
            <v>720</v>
          </cell>
        </row>
        <row r="28">
          <cell r="G28">
            <v>110</v>
          </cell>
        </row>
        <row r="30">
          <cell r="C30">
            <v>10</v>
          </cell>
          <cell r="G30">
            <v>60</v>
          </cell>
        </row>
        <row r="31">
          <cell r="C31">
            <v>84</v>
          </cell>
          <cell r="G31">
            <v>310</v>
          </cell>
        </row>
        <row r="33">
          <cell r="G33">
            <v>125</v>
          </cell>
        </row>
        <row r="35">
          <cell r="E35">
            <v>30</v>
          </cell>
          <cell r="G35">
            <v>65</v>
          </cell>
        </row>
        <row r="36">
          <cell r="E36">
            <v>1000</v>
          </cell>
          <cell r="G36">
            <v>60</v>
          </cell>
        </row>
        <row r="41">
          <cell r="K41">
            <v>5.1094890510948905E-2</v>
          </cell>
        </row>
        <row r="51">
          <cell r="K51">
            <v>35.979999999999997</v>
          </cell>
        </row>
        <row r="62">
          <cell r="C62">
            <v>500</v>
          </cell>
          <cell r="G62">
            <v>85</v>
          </cell>
        </row>
        <row r="63">
          <cell r="K63">
            <v>2.150537634408602</v>
          </cell>
        </row>
        <row r="75">
          <cell r="G75">
            <v>150</v>
          </cell>
        </row>
        <row r="87">
          <cell r="C87">
            <v>2500</v>
          </cell>
          <cell r="G87">
            <v>45</v>
          </cell>
        </row>
      </sheetData>
      <sheetData sheetId="13">
        <row r="12">
          <cell r="H12">
            <v>59</v>
          </cell>
        </row>
        <row r="14">
          <cell r="G14">
            <v>137.26640887835899</v>
          </cell>
        </row>
        <row r="25">
          <cell r="G25">
            <v>0.18329166666666669</v>
          </cell>
        </row>
        <row r="33">
          <cell r="G33">
            <v>41.579258266309211</v>
          </cell>
        </row>
        <row r="47">
          <cell r="G47">
            <v>127.72423600973235</v>
          </cell>
        </row>
        <row r="48">
          <cell r="B48">
            <v>22</v>
          </cell>
        </row>
        <row r="59">
          <cell r="G59">
            <v>0.61714285714285722</v>
          </cell>
        </row>
        <row r="78">
          <cell r="G78">
            <v>149.4586232251863</v>
          </cell>
        </row>
        <row r="79">
          <cell r="B79">
            <v>22</v>
          </cell>
        </row>
        <row r="91">
          <cell r="G91">
            <v>1.8690095846645367</v>
          </cell>
        </row>
        <row r="93">
          <cell r="G93">
            <v>0.27269565217391312</v>
          </cell>
        </row>
        <row r="103">
          <cell r="C103">
            <v>30</v>
          </cell>
          <cell r="G103">
            <v>164.09087591240876</v>
          </cell>
        </row>
        <row r="114">
          <cell r="G114">
            <v>74.442367049009391</v>
          </cell>
        </row>
        <row r="115">
          <cell r="C115">
            <v>14</v>
          </cell>
        </row>
        <row r="122">
          <cell r="G122">
            <v>6.94</v>
          </cell>
        </row>
        <row r="130">
          <cell r="C130">
            <v>370</v>
          </cell>
          <cell r="G130">
            <v>1.1566666666666667</v>
          </cell>
        </row>
        <row r="139">
          <cell r="G139">
            <v>289.03990928995933</v>
          </cell>
        </row>
        <row r="140">
          <cell r="G140">
            <v>38</v>
          </cell>
        </row>
        <row r="157">
          <cell r="G157">
            <v>151.96805996977395</v>
          </cell>
        </row>
        <row r="158">
          <cell r="B158">
            <v>30</v>
          </cell>
        </row>
        <row r="175">
          <cell r="G175">
            <v>1.4878611111111104</v>
          </cell>
        </row>
        <row r="190">
          <cell r="G190">
            <v>748.92816058394146</v>
          </cell>
        </row>
        <row r="192">
          <cell r="C192">
            <v>76</v>
          </cell>
        </row>
        <row r="198">
          <cell r="G198">
            <v>0.23299999999999996</v>
          </cell>
        </row>
        <row r="204">
          <cell r="G204">
            <v>4.3129032258064512</v>
          </cell>
        </row>
        <row r="205">
          <cell r="D205">
            <v>10</v>
          </cell>
        </row>
        <row r="213">
          <cell r="G213">
            <v>6.1405896854910784</v>
          </cell>
        </row>
        <row r="214">
          <cell r="D214">
            <v>10</v>
          </cell>
        </row>
        <row r="234">
          <cell r="C234">
            <v>17</v>
          </cell>
          <cell r="G234">
            <v>201.6</v>
          </cell>
        </row>
        <row r="246">
          <cell r="G246">
            <v>138.82999999999998</v>
          </cell>
        </row>
        <row r="248">
          <cell r="C248">
            <v>20</v>
          </cell>
        </row>
        <row r="254">
          <cell r="G254">
            <v>26.731376127093171</v>
          </cell>
        </row>
        <row r="259">
          <cell r="G259">
            <v>223</v>
          </cell>
        </row>
        <row r="261">
          <cell r="C261">
            <v>25</v>
          </cell>
        </row>
        <row r="265">
          <cell r="G265">
            <v>380</v>
          </cell>
        </row>
        <row r="267">
          <cell r="C267">
            <v>30</v>
          </cell>
        </row>
        <row r="273">
          <cell r="G273">
            <v>175.6</v>
          </cell>
        </row>
        <row r="274">
          <cell r="C274">
            <v>16</v>
          </cell>
        </row>
        <row r="280">
          <cell r="G280">
            <v>155.80000000000001</v>
          </cell>
        </row>
        <row r="281">
          <cell r="C281">
            <v>38</v>
          </cell>
        </row>
        <row r="297">
          <cell r="G297">
            <v>409.4813144103199</v>
          </cell>
        </row>
        <row r="298">
          <cell r="B298">
            <v>17</v>
          </cell>
        </row>
        <row r="310">
          <cell r="E310">
            <v>0.24651515151515155</v>
          </cell>
        </row>
        <row r="323">
          <cell r="G323">
            <v>274.84504962140096</v>
          </cell>
        </row>
        <row r="324">
          <cell r="B324">
            <v>15</v>
          </cell>
        </row>
        <row r="340">
          <cell r="E340">
            <v>8.2727272727272734</v>
          </cell>
        </row>
        <row r="350">
          <cell r="G350">
            <v>266.03248187434434</v>
          </cell>
        </row>
        <row r="351">
          <cell r="B351">
            <v>20</v>
          </cell>
        </row>
        <row r="366">
          <cell r="C366">
            <v>180</v>
          </cell>
          <cell r="G366">
            <v>38.999999999999993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5A7C-BCFF-4735-9FD9-BA6BBCCFB450}">
  <dimension ref="A1:I50"/>
  <sheetViews>
    <sheetView tabSelected="1" workbookViewId="0">
      <selection activeCell="B4" sqref="B4"/>
    </sheetView>
  </sheetViews>
  <sheetFormatPr defaultRowHeight="17" x14ac:dyDescent="0.4"/>
  <cols>
    <col min="2" max="2" width="25.81640625" customWidth="1"/>
    <col min="3" max="3" width="6.90625" customWidth="1"/>
    <col min="4" max="4" width="4.08984375" customWidth="1"/>
    <col min="5" max="5" width="9.26953125" style="24" bestFit="1" customWidth="1"/>
    <col min="6" max="6" width="12.08984375" customWidth="1"/>
    <col min="7" max="7" width="12" customWidth="1"/>
    <col min="8" max="8" width="13.90625" customWidth="1"/>
    <col min="9" max="9" width="60.7265625" customWidth="1"/>
  </cols>
  <sheetData>
    <row r="1" spans="1:9" ht="28" customHeight="1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ht="18" customHeight="1" thickTop="1" thickBot="1" x14ac:dyDescent="0.45">
      <c r="A2" s="4" t="s">
        <v>1</v>
      </c>
      <c r="B2" s="5" t="s">
        <v>2</v>
      </c>
      <c r="C2" s="5" t="s">
        <v>3</v>
      </c>
      <c r="D2" s="5"/>
      <c r="E2" s="6" t="s">
        <v>4</v>
      </c>
      <c r="F2" s="5" t="s">
        <v>5</v>
      </c>
      <c r="G2" s="5"/>
      <c r="H2" s="5" t="s">
        <v>6</v>
      </c>
      <c r="I2" s="5" t="s">
        <v>7</v>
      </c>
    </row>
    <row r="3" spans="1:9" ht="18" customHeight="1" thickTop="1" thickBot="1" x14ac:dyDescent="0.45">
      <c r="A3" s="7"/>
      <c r="B3" s="8"/>
      <c r="C3" s="8"/>
      <c r="D3" s="8"/>
      <c r="E3" s="9"/>
      <c r="F3" s="8"/>
      <c r="G3" s="8"/>
      <c r="H3" s="8"/>
      <c r="I3" s="8"/>
    </row>
    <row r="4" spans="1:9" ht="25" customHeight="1" thickTop="1" thickBot="1" x14ac:dyDescent="0.45">
      <c r="A4" s="10">
        <v>1</v>
      </c>
      <c r="B4" s="11" t="s">
        <v>8</v>
      </c>
      <c r="C4" s="11">
        <f>[1]半成品配方!H12</f>
        <v>59</v>
      </c>
      <c r="D4" s="11" t="s">
        <v>9</v>
      </c>
      <c r="E4" s="12">
        <f>[1]半成品配方!G14+([1]半成品配方!H12*[1]半成品配方!G25)+(C4*[1]半成品配方!G59)</f>
        <v>184.49204578312089</v>
      </c>
      <c r="F4" s="13">
        <f t="shared" ref="F4:F27" si="0">E4/C4</f>
        <v>3.1269838268325576</v>
      </c>
      <c r="G4" s="11" t="s">
        <v>10</v>
      </c>
      <c r="H4" s="14" t="s">
        <v>11</v>
      </c>
      <c r="I4" s="14" t="s">
        <v>12</v>
      </c>
    </row>
    <row r="5" spans="1:9" ht="25" customHeight="1" thickTop="1" thickBot="1" x14ac:dyDescent="0.45">
      <c r="A5" s="10">
        <f>A4+1</f>
        <v>2</v>
      </c>
      <c r="B5" s="11" t="s">
        <v>13</v>
      </c>
      <c r="C5" s="11">
        <v>1750</v>
      </c>
      <c r="D5" s="11" t="s">
        <v>14</v>
      </c>
      <c r="E5" s="12">
        <f>[1]半成品配方!G33</f>
        <v>41.579258266309211</v>
      </c>
      <c r="F5" s="15">
        <f t="shared" si="0"/>
        <v>2.3759576152176692E-2</v>
      </c>
      <c r="G5" s="11" t="s">
        <v>15</v>
      </c>
      <c r="H5" s="14" t="s">
        <v>11</v>
      </c>
      <c r="I5" s="16" t="s">
        <v>16</v>
      </c>
    </row>
    <row r="6" spans="1:9" ht="25" customHeight="1" thickTop="1" thickBot="1" x14ac:dyDescent="0.45">
      <c r="A6" s="10">
        <f t="shared" ref="A6:A49" si="1">A5+1</f>
        <v>3</v>
      </c>
      <c r="B6" s="11" t="s">
        <v>17</v>
      </c>
      <c r="C6" s="11">
        <f>[1]半成品配方!B48</f>
        <v>22</v>
      </c>
      <c r="D6" s="11" t="s">
        <v>9</v>
      </c>
      <c r="E6" s="12">
        <f>[1]半成品配方!G47+([1]半成品配方!B48*[1]半成品配方!G59)</f>
        <v>141.30137886687521</v>
      </c>
      <c r="F6" s="13">
        <f t="shared" si="0"/>
        <v>6.4227899484943274</v>
      </c>
      <c r="G6" s="11" t="s">
        <v>10</v>
      </c>
      <c r="H6" s="14" t="s">
        <v>11</v>
      </c>
      <c r="I6" s="16"/>
    </row>
    <row r="7" spans="1:9" ht="25" customHeight="1" thickTop="1" thickBot="1" x14ac:dyDescent="0.45">
      <c r="A7" s="10">
        <f t="shared" si="1"/>
        <v>4</v>
      </c>
      <c r="B7" s="11" t="s">
        <v>18</v>
      </c>
      <c r="C7" s="12">
        <f>[1]半成品配方!B79</f>
        <v>22</v>
      </c>
      <c r="D7" s="11" t="s">
        <v>9</v>
      </c>
      <c r="E7" s="12">
        <f>[1]半成品配方!G78+([1]半成品配方!B79*[1]半成品配方!G93)+([1]半成品配方!B79*[1]半成品配方!G91)</f>
        <v>196.5761384356322</v>
      </c>
      <c r="F7" s="13">
        <f t="shared" si="0"/>
        <v>8.9352790198014631</v>
      </c>
      <c r="G7" s="11" t="s">
        <v>10</v>
      </c>
      <c r="H7" s="14" t="s">
        <v>11</v>
      </c>
      <c r="I7" s="16"/>
    </row>
    <row r="8" spans="1:9" ht="25" customHeight="1" thickTop="1" thickBot="1" x14ac:dyDescent="0.45">
      <c r="A8" s="10">
        <f t="shared" si="1"/>
        <v>5</v>
      </c>
      <c r="B8" s="11" t="s">
        <v>19</v>
      </c>
      <c r="C8" s="12">
        <f>[1]半成品配方!B158</f>
        <v>30</v>
      </c>
      <c r="D8" s="11" t="s">
        <v>9</v>
      </c>
      <c r="E8" s="12">
        <f>[1]半成品配方!G157+(30*[1]半成品配方!G175)</f>
        <v>196.60389330310727</v>
      </c>
      <c r="F8" s="13">
        <f t="shared" si="0"/>
        <v>6.5534631101035759</v>
      </c>
      <c r="G8" s="11" t="s">
        <v>10</v>
      </c>
      <c r="H8" s="14" t="s">
        <v>11</v>
      </c>
      <c r="I8" s="16"/>
    </row>
    <row r="9" spans="1:9" ht="25" customHeight="1" thickTop="1" thickBot="1" x14ac:dyDescent="0.45">
      <c r="A9" s="10">
        <f t="shared" si="1"/>
        <v>6</v>
      </c>
      <c r="B9" s="11" t="s">
        <v>20</v>
      </c>
      <c r="C9" s="11">
        <f>[1]半成品配方!C103</f>
        <v>30</v>
      </c>
      <c r="D9" s="11" t="s">
        <v>9</v>
      </c>
      <c r="E9" s="12">
        <f>[1]半成品配方!G103</f>
        <v>164.09087591240876</v>
      </c>
      <c r="F9" s="13">
        <f t="shared" si="0"/>
        <v>5.469695863746959</v>
      </c>
      <c r="G9" s="11" t="s">
        <v>10</v>
      </c>
      <c r="H9" s="14"/>
      <c r="I9" s="16" t="s">
        <v>21</v>
      </c>
    </row>
    <row r="10" spans="1:9" ht="25" customHeight="1" thickTop="1" thickBot="1" x14ac:dyDescent="0.45">
      <c r="A10" s="10">
        <f t="shared" si="1"/>
        <v>7</v>
      </c>
      <c r="B10" s="11" t="s">
        <v>22</v>
      </c>
      <c r="C10" s="11">
        <f>[1]半成品配方!C115</f>
        <v>14</v>
      </c>
      <c r="D10" s="11" t="s">
        <v>9</v>
      </c>
      <c r="E10" s="12">
        <f>[1]半成品配方!G114</f>
        <v>74.442367049009391</v>
      </c>
      <c r="F10" s="13">
        <f t="shared" si="0"/>
        <v>5.3173119320720996</v>
      </c>
      <c r="G10" s="11" t="s">
        <v>10</v>
      </c>
      <c r="H10" s="14" t="s">
        <v>11</v>
      </c>
      <c r="I10" s="16" t="s">
        <v>21</v>
      </c>
    </row>
    <row r="11" spans="1:9" ht="25" customHeight="1" thickTop="1" thickBot="1" x14ac:dyDescent="0.45">
      <c r="A11" s="10">
        <f t="shared" si="1"/>
        <v>8</v>
      </c>
      <c r="B11" s="11" t="s">
        <v>23</v>
      </c>
      <c r="C11" s="11">
        <v>120</v>
      </c>
      <c r="D11" s="11" t="s">
        <v>14</v>
      </c>
      <c r="E11" s="12">
        <f>[1]半成品配方!G122</f>
        <v>6.94</v>
      </c>
      <c r="F11" s="13">
        <f t="shared" si="0"/>
        <v>5.7833333333333334E-2</v>
      </c>
      <c r="G11" s="11" t="s">
        <v>24</v>
      </c>
      <c r="H11" s="14" t="s">
        <v>11</v>
      </c>
      <c r="I11" s="16" t="s">
        <v>25</v>
      </c>
    </row>
    <row r="12" spans="1:9" ht="25" customHeight="1" thickTop="1" thickBot="1" x14ac:dyDescent="0.45">
      <c r="A12" s="10">
        <f t="shared" si="1"/>
        <v>9</v>
      </c>
      <c r="B12" s="11" t="s">
        <v>26</v>
      </c>
      <c r="C12" s="11">
        <f>[1]半成品配方!C130</f>
        <v>370</v>
      </c>
      <c r="D12" s="11" t="s">
        <v>14</v>
      </c>
      <c r="E12" s="12">
        <f>[1]半成品配方!G130</f>
        <v>1.1566666666666667</v>
      </c>
      <c r="F12" s="13">
        <f t="shared" si="0"/>
        <v>3.1261261261261264E-3</v>
      </c>
      <c r="G12" s="11" t="s">
        <v>24</v>
      </c>
      <c r="H12" s="11"/>
      <c r="I12" s="16" t="s">
        <v>27</v>
      </c>
    </row>
    <row r="13" spans="1:9" ht="25" customHeight="1" thickTop="1" thickBot="1" x14ac:dyDescent="0.45">
      <c r="A13" s="10">
        <f t="shared" si="1"/>
        <v>10</v>
      </c>
      <c r="B13" s="11" t="s">
        <v>28</v>
      </c>
      <c r="C13" s="11">
        <f>[1]半成品配方!D205</f>
        <v>10</v>
      </c>
      <c r="D13" s="11" t="s">
        <v>9</v>
      </c>
      <c r="E13" s="12">
        <f>[1]半成品配方!G204</f>
        <v>4.3129032258064512</v>
      </c>
      <c r="F13" s="13">
        <f t="shared" si="0"/>
        <v>0.43129032258064515</v>
      </c>
      <c r="G13" s="11" t="s">
        <v>24</v>
      </c>
      <c r="H13" s="11"/>
      <c r="I13" s="14"/>
    </row>
    <row r="14" spans="1:9" ht="25" customHeight="1" thickTop="1" thickBot="1" x14ac:dyDescent="0.45">
      <c r="A14" s="10">
        <f t="shared" si="1"/>
        <v>11</v>
      </c>
      <c r="B14" s="11" t="s">
        <v>29</v>
      </c>
      <c r="C14" s="11">
        <f>[1]半成品配方!D214</f>
        <v>10</v>
      </c>
      <c r="D14" s="11" t="s">
        <v>9</v>
      </c>
      <c r="E14" s="12">
        <f>[1]半成品配方!G213</f>
        <v>6.1405896854910784</v>
      </c>
      <c r="F14" s="13">
        <f t="shared" si="0"/>
        <v>0.6140589685491078</v>
      </c>
      <c r="G14" s="11" t="s">
        <v>10</v>
      </c>
      <c r="H14" s="11"/>
      <c r="I14" s="14"/>
    </row>
    <row r="15" spans="1:9" ht="25" customHeight="1" thickTop="1" thickBot="1" x14ac:dyDescent="0.45">
      <c r="A15" s="10">
        <f t="shared" si="1"/>
        <v>12</v>
      </c>
      <c r="B15" s="11" t="s">
        <v>30</v>
      </c>
      <c r="C15" s="11">
        <v>1</v>
      </c>
      <c r="D15" s="11" t="s">
        <v>9</v>
      </c>
      <c r="E15" s="12">
        <f>'[1]食,耗,包材成本'!K63</f>
        <v>2.150537634408602</v>
      </c>
      <c r="F15" s="13">
        <f t="shared" si="0"/>
        <v>2.150537634408602</v>
      </c>
      <c r="G15" s="11" t="s">
        <v>10</v>
      </c>
      <c r="H15" s="11"/>
      <c r="I15" s="14"/>
    </row>
    <row r="16" spans="1:9" ht="25" customHeight="1" thickTop="1" thickBot="1" x14ac:dyDescent="0.45">
      <c r="A16" s="10">
        <f t="shared" si="1"/>
        <v>13</v>
      </c>
      <c r="B16" s="11" t="s">
        <v>31</v>
      </c>
      <c r="C16" s="11">
        <f>[1]半成品配方!C234</f>
        <v>17</v>
      </c>
      <c r="D16" s="11" t="s">
        <v>9</v>
      </c>
      <c r="E16" s="12">
        <f>[1]半成品配方!G234</f>
        <v>201.6</v>
      </c>
      <c r="F16" s="13">
        <f t="shared" si="0"/>
        <v>11.858823529411765</v>
      </c>
      <c r="G16" s="11" t="s">
        <v>10</v>
      </c>
      <c r="H16" s="11"/>
      <c r="I16" s="14"/>
    </row>
    <row r="17" spans="1:9" ht="30" customHeight="1" thickTop="1" thickBot="1" x14ac:dyDescent="0.45">
      <c r="A17" s="10">
        <f t="shared" si="1"/>
        <v>14</v>
      </c>
      <c r="B17" s="11" t="s">
        <v>32</v>
      </c>
      <c r="C17" s="11">
        <f>[1]半成品配方!C248</f>
        <v>20</v>
      </c>
      <c r="D17" s="11" t="s">
        <v>9</v>
      </c>
      <c r="E17" s="12">
        <f>[1]半成品配方!G246</f>
        <v>138.82999999999998</v>
      </c>
      <c r="F17" s="13">
        <f t="shared" si="0"/>
        <v>6.9414999999999996</v>
      </c>
      <c r="G17" s="11" t="s">
        <v>10</v>
      </c>
      <c r="H17" s="11"/>
      <c r="I17" s="14"/>
    </row>
    <row r="18" spans="1:9" ht="30" customHeight="1" thickTop="1" thickBot="1" x14ac:dyDescent="0.45">
      <c r="A18" s="10">
        <f t="shared" si="1"/>
        <v>15</v>
      </c>
      <c r="B18" s="11" t="s">
        <v>33</v>
      </c>
      <c r="C18" s="11">
        <v>110</v>
      </c>
      <c r="D18" s="11" t="s">
        <v>14</v>
      </c>
      <c r="E18" s="17">
        <f>[1]半成品配方!G254</f>
        <v>26.731376127093171</v>
      </c>
      <c r="F18" s="18">
        <f t="shared" si="0"/>
        <v>0.24301251024630155</v>
      </c>
      <c r="G18" s="11" t="s">
        <v>15</v>
      </c>
      <c r="H18" s="11"/>
      <c r="I18" s="14"/>
    </row>
    <row r="19" spans="1:9" ht="30" customHeight="1" thickTop="1" thickBot="1" x14ac:dyDescent="0.45">
      <c r="A19" s="10">
        <f t="shared" si="1"/>
        <v>16</v>
      </c>
      <c r="B19" s="11" t="s">
        <v>34</v>
      </c>
      <c r="C19" s="19">
        <f>[1]半成品配方!C192</f>
        <v>76</v>
      </c>
      <c r="D19" s="11" t="s">
        <v>9</v>
      </c>
      <c r="E19" s="12">
        <f>[1]半成品配方!G190+(3*[1]半成品配方!G198)</f>
        <v>749.62716058394142</v>
      </c>
      <c r="F19" s="13">
        <f t="shared" si="0"/>
        <v>9.8635152708413347</v>
      </c>
      <c r="G19" s="11" t="s">
        <v>10</v>
      </c>
      <c r="H19" s="11"/>
      <c r="I19" s="14"/>
    </row>
    <row r="20" spans="1:9" ht="30" customHeight="1" thickTop="1" thickBot="1" x14ac:dyDescent="0.45">
      <c r="A20" s="10">
        <f t="shared" si="1"/>
        <v>17</v>
      </c>
      <c r="B20" s="11" t="s">
        <v>35</v>
      </c>
      <c r="C20" s="11">
        <f>[1]半成品配方!C261</f>
        <v>25</v>
      </c>
      <c r="D20" s="11" t="s">
        <v>9</v>
      </c>
      <c r="E20" s="12">
        <f>[1]半成品配方!G259</f>
        <v>223</v>
      </c>
      <c r="F20" s="13">
        <f t="shared" si="0"/>
        <v>8.92</v>
      </c>
      <c r="G20" s="11" t="s">
        <v>10</v>
      </c>
      <c r="H20" s="11"/>
      <c r="I20" s="14"/>
    </row>
    <row r="21" spans="1:9" ht="30" customHeight="1" thickTop="1" thickBot="1" x14ac:dyDescent="0.45">
      <c r="A21" s="10">
        <f t="shared" si="1"/>
        <v>18</v>
      </c>
      <c r="B21" s="11" t="s">
        <v>36</v>
      </c>
      <c r="C21" s="11">
        <f>[1]半成品配方!C267</f>
        <v>30</v>
      </c>
      <c r="D21" s="11" t="s">
        <v>9</v>
      </c>
      <c r="E21" s="12">
        <f>[1]半成品配方!G265</f>
        <v>380</v>
      </c>
      <c r="F21" s="13">
        <f t="shared" si="0"/>
        <v>12.666666666666666</v>
      </c>
      <c r="G21" s="11" t="s">
        <v>10</v>
      </c>
      <c r="H21" s="11"/>
      <c r="I21" s="14"/>
    </row>
    <row r="22" spans="1:9" ht="30" customHeight="1" thickTop="1" thickBot="1" x14ac:dyDescent="0.45">
      <c r="A22" s="10">
        <f t="shared" si="1"/>
        <v>19</v>
      </c>
      <c r="B22" s="11" t="s">
        <v>37</v>
      </c>
      <c r="C22" s="11">
        <f>[1]半成品配方!C274</f>
        <v>16</v>
      </c>
      <c r="D22" s="11" t="s">
        <v>9</v>
      </c>
      <c r="E22" s="12">
        <f>[1]半成品配方!G273</f>
        <v>175.6</v>
      </c>
      <c r="F22" s="13">
        <f t="shared" si="0"/>
        <v>10.975</v>
      </c>
      <c r="G22" s="11" t="s">
        <v>10</v>
      </c>
      <c r="H22" s="11"/>
      <c r="I22" s="14"/>
    </row>
    <row r="23" spans="1:9" ht="30" customHeight="1" thickTop="1" thickBot="1" x14ac:dyDescent="0.45">
      <c r="A23" s="10">
        <f t="shared" si="1"/>
        <v>20</v>
      </c>
      <c r="B23" s="11" t="s">
        <v>38</v>
      </c>
      <c r="C23" s="11">
        <f>[1]半成品配方!C281</f>
        <v>38</v>
      </c>
      <c r="D23" s="11" t="s">
        <v>9</v>
      </c>
      <c r="E23" s="12">
        <f>[1]半成品配方!G280</f>
        <v>155.80000000000001</v>
      </c>
      <c r="F23" s="13">
        <f t="shared" si="0"/>
        <v>4.1000000000000005</v>
      </c>
      <c r="G23" s="11" t="s">
        <v>10</v>
      </c>
      <c r="H23" s="11"/>
      <c r="I23" s="14"/>
    </row>
    <row r="24" spans="1:9" ht="30" customHeight="1" thickTop="1" thickBot="1" x14ac:dyDescent="0.45">
      <c r="A24" s="10">
        <f t="shared" si="1"/>
        <v>21</v>
      </c>
      <c r="B24" s="11" t="s">
        <v>39</v>
      </c>
      <c r="C24" s="11">
        <f>[1]半成品配方!B298</f>
        <v>17</v>
      </c>
      <c r="D24" s="11" t="s">
        <v>9</v>
      </c>
      <c r="E24" s="12">
        <f>[1]半成品配方!G297+([1]半成品配方!E310*[1]半成品配方!B298)</f>
        <v>413.67207198607747</v>
      </c>
      <c r="F24" s="13">
        <f t="shared" si="0"/>
        <v>24.333651293298676</v>
      </c>
      <c r="G24" s="11" t="s">
        <v>10</v>
      </c>
      <c r="H24" s="11"/>
      <c r="I24" s="14"/>
    </row>
    <row r="25" spans="1:9" ht="30" customHeight="1" thickTop="1" thickBot="1" x14ac:dyDescent="0.45">
      <c r="A25" s="10">
        <f t="shared" si="1"/>
        <v>22</v>
      </c>
      <c r="B25" s="11" t="s">
        <v>40</v>
      </c>
      <c r="C25" s="11">
        <f>[1]半成品配方!B324</f>
        <v>15</v>
      </c>
      <c r="D25" s="11" t="s">
        <v>9</v>
      </c>
      <c r="E25" s="12">
        <f>[1]半成品配方!G323+([1]半成品配方!B324*[1]半成品配方!E335)</f>
        <v>274.84504962140096</v>
      </c>
      <c r="F25" s="13">
        <f t="shared" si="0"/>
        <v>18.323003308093398</v>
      </c>
      <c r="G25" s="11" t="s">
        <v>10</v>
      </c>
      <c r="H25" s="11"/>
      <c r="I25" s="14"/>
    </row>
    <row r="26" spans="1:9" ht="30" customHeight="1" thickTop="1" thickBot="1" x14ac:dyDescent="0.45">
      <c r="A26" s="10">
        <f t="shared" si="1"/>
        <v>23</v>
      </c>
      <c r="B26" s="11" t="s">
        <v>41</v>
      </c>
      <c r="C26" s="11">
        <f>[1]飲品配方與利潤!C201</f>
        <v>20</v>
      </c>
      <c r="D26" s="11" t="s">
        <v>9</v>
      </c>
      <c r="E26" s="12">
        <f>[1]飲品配方與利潤!G200</f>
        <v>63.573333333333338</v>
      </c>
      <c r="F26" s="13">
        <f t="shared" si="0"/>
        <v>3.178666666666667</v>
      </c>
      <c r="G26" s="11" t="s">
        <v>10</v>
      </c>
      <c r="H26" s="11"/>
      <c r="I26" s="14"/>
    </row>
    <row r="27" spans="1:9" ht="30" customHeight="1" thickTop="1" thickBot="1" x14ac:dyDescent="0.45">
      <c r="A27" s="10">
        <f t="shared" si="1"/>
        <v>24</v>
      </c>
      <c r="B27" s="11" t="s">
        <v>42</v>
      </c>
      <c r="C27" s="11">
        <f>600/5</f>
        <v>120</v>
      </c>
      <c r="D27" s="11" t="s">
        <v>9</v>
      </c>
      <c r="E27" s="12">
        <f>'[1]食,耗,包材成本'!G10</f>
        <v>250</v>
      </c>
      <c r="F27" s="13">
        <f t="shared" si="0"/>
        <v>2.0833333333333335</v>
      </c>
      <c r="G27" s="11" t="s">
        <v>10</v>
      </c>
      <c r="H27" s="11"/>
      <c r="I27" s="14"/>
    </row>
    <row r="28" spans="1:9" ht="30" customHeight="1" thickTop="1" thickBot="1" x14ac:dyDescent="0.45">
      <c r="A28" s="10">
        <f t="shared" si="1"/>
        <v>25</v>
      </c>
      <c r="B28" s="11" t="s">
        <v>43</v>
      </c>
      <c r="C28" s="11">
        <v>6</v>
      </c>
      <c r="D28" s="11" t="s">
        <v>9</v>
      </c>
      <c r="E28" s="12">
        <f>F28*C28</f>
        <v>49.63636363636364</v>
      </c>
      <c r="F28" s="13">
        <f>[1]半成品配方!E340</f>
        <v>8.2727272727272734</v>
      </c>
      <c r="G28" s="11" t="s">
        <v>10</v>
      </c>
      <c r="H28" s="11"/>
      <c r="I28" s="14"/>
    </row>
    <row r="29" spans="1:9" ht="30" customHeight="1" thickTop="1" thickBot="1" x14ac:dyDescent="0.45">
      <c r="A29" s="10">
        <f t="shared" si="1"/>
        <v>26</v>
      </c>
      <c r="B29" s="11" t="s">
        <v>44</v>
      </c>
      <c r="C29" s="11">
        <v>20</v>
      </c>
      <c r="D29" s="11" t="s">
        <v>9</v>
      </c>
      <c r="E29" s="12">
        <f>'[1]食,耗,包材成本'!G28</f>
        <v>110</v>
      </c>
      <c r="F29" s="13">
        <f>E29/C29</f>
        <v>5.5</v>
      </c>
      <c r="G29" s="11" t="s">
        <v>10</v>
      </c>
      <c r="H29" s="11"/>
      <c r="I29" s="14"/>
    </row>
    <row r="30" spans="1:9" ht="30" customHeight="1" thickTop="1" thickBot="1" x14ac:dyDescent="0.45">
      <c r="A30" s="10">
        <f t="shared" si="1"/>
        <v>27</v>
      </c>
      <c r="B30" s="11" t="s">
        <v>45</v>
      </c>
      <c r="C30" s="11">
        <f>[1]半成品配方!B351</f>
        <v>20</v>
      </c>
      <c r="D30" s="11" t="s">
        <v>9</v>
      </c>
      <c r="E30" s="12">
        <f>[1]半成品配方!G350</f>
        <v>266.03248187434434</v>
      </c>
      <c r="F30" s="13">
        <f>E30/C30</f>
        <v>13.301624093717217</v>
      </c>
      <c r="G30" s="11" t="s">
        <v>10</v>
      </c>
      <c r="H30" s="11"/>
      <c r="I30" s="14"/>
    </row>
    <row r="31" spans="1:9" ht="30" customHeight="1" thickTop="1" thickBot="1" x14ac:dyDescent="0.45">
      <c r="A31" s="10">
        <f t="shared" si="1"/>
        <v>28</v>
      </c>
      <c r="B31" s="11" t="s">
        <v>46</v>
      </c>
      <c r="C31" s="11">
        <f>3000/50</f>
        <v>60</v>
      </c>
      <c r="D31" s="11" t="s">
        <v>9</v>
      </c>
      <c r="E31" s="12">
        <f>'[1]食,耗,包材成本'!G75</f>
        <v>150</v>
      </c>
      <c r="F31" s="13">
        <f>E31/C31</f>
        <v>2.5</v>
      </c>
      <c r="G31" s="11" t="s">
        <v>10</v>
      </c>
      <c r="H31" s="11"/>
      <c r="I31" s="14"/>
    </row>
    <row r="32" spans="1:9" ht="30" customHeight="1" thickTop="1" thickBot="1" x14ac:dyDescent="0.45">
      <c r="A32" s="10">
        <f t="shared" si="1"/>
        <v>29</v>
      </c>
      <c r="B32" s="11" t="s">
        <v>47</v>
      </c>
      <c r="C32" s="11">
        <f>[1]半成品配方!C366</f>
        <v>180</v>
      </c>
      <c r="D32" s="11" t="s">
        <v>14</v>
      </c>
      <c r="E32" s="12">
        <f>[1]半成品配方!G366</f>
        <v>38.999999999999993</v>
      </c>
      <c r="F32" s="13">
        <f>E32/C32</f>
        <v>0.21666666666666662</v>
      </c>
      <c r="G32" s="11" t="s">
        <v>15</v>
      </c>
      <c r="H32" s="11"/>
      <c r="I32" s="14"/>
    </row>
    <row r="33" spans="1:9" ht="30" customHeight="1" thickTop="1" thickBot="1" x14ac:dyDescent="0.45">
      <c r="A33" s="10">
        <f t="shared" si="1"/>
        <v>30</v>
      </c>
      <c r="B33" s="20" t="s">
        <v>48</v>
      </c>
      <c r="C33" s="11">
        <v>80</v>
      </c>
      <c r="D33" s="11" t="s">
        <v>14</v>
      </c>
      <c r="E33" s="17">
        <f>'[1]食,耗,包材成本'!K41</f>
        <v>5.1094890510948905E-2</v>
      </c>
      <c r="F33" s="21">
        <f>C33*E33</f>
        <v>4.0875912408759127</v>
      </c>
      <c r="G33" s="11" t="s">
        <v>15</v>
      </c>
      <c r="H33" s="11"/>
      <c r="I33" s="14"/>
    </row>
    <row r="34" spans="1:9" ht="30" customHeight="1" thickTop="1" thickBot="1" x14ac:dyDescent="0.45">
      <c r="A34" s="10">
        <f t="shared" si="1"/>
        <v>31</v>
      </c>
      <c r="B34" s="22" t="s">
        <v>49</v>
      </c>
      <c r="C34" s="11">
        <f>[1]半成品配方!G140</f>
        <v>38</v>
      </c>
      <c r="D34" s="11" t="s">
        <v>50</v>
      </c>
      <c r="E34" s="12">
        <f>[1]半成品配方!G139</f>
        <v>289.03990928995933</v>
      </c>
      <c r="F34" s="21">
        <f>E34/C34</f>
        <v>7.6063134023673511</v>
      </c>
      <c r="G34" s="11" t="s">
        <v>10</v>
      </c>
      <c r="H34" s="11"/>
      <c r="I34" s="14"/>
    </row>
    <row r="35" spans="1:9" ht="30" customHeight="1" thickTop="1" thickBot="1" x14ac:dyDescent="0.45">
      <c r="A35" s="10">
        <f t="shared" si="1"/>
        <v>32</v>
      </c>
      <c r="B35" s="11" t="s">
        <v>51</v>
      </c>
      <c r="C35" s="11">
        <f>'[1]食,耗,包材成本'!C21/6</f>
        <v>100</v>
      </c>
      <c r="D35" s="11" t="s">
        <v>9</v>
      </c>
      <c r="E35" s="23">
        <f>'[1]食,耗,包材成本'!G21</f>
        <v>720</v>
      </c>
      <c r="F35" s="13">
        <f t="shared" ref="F35:F37" si="2">E35/C35</f>
        <v>7.2</v>
      </c>
      <c r="G35" s="11" t="s">
        <v>10</v>
      </c>
      <c r="H35" s="11"/>
      <c r="I35" s="14"/>
    </row>
    <row r="36" spans="1:9" ht="30" customHeight="1" thickTop="1" thickBot="1" x14ac:dyDescent="0.45">
      <c r="A36" s="10">
        <f t="shared" si="1"/>
        <v>33</v>
      </c>
      <c r="B36" s="11" t="s">
        <v>52</v>
      </c>
      <c r="C36" s="11">
        <f>'[1]食,耗,包材成本'!C31</f>
        <v>84</v>
      </c>
      <c r="D36" s="11" t="s">
        <v>53</v>
      </c>
      <c r="E36" s="23">
        <f>'[1]食,耗,包材成本'!G31</f>
        <v>310</v>
      </c>
      <c r="F36" s="13">
        <f t="shared" si="2"/>
        <v>3.6904761904761907</v>
      </c>
      <c r="G36" s="11" t="s">
        <v>10</v>
      </c>
      <c r="H36" s="11"/>
      <c r="I36" s="14"/>
    </row>
    <row r="37" spans="1:9" ht="30" customHeight="1" thickTop="1" thickBot="1" x14ac:dyDescent="0.45">
      <c r="A37" s="10">
        <f t="shared" si="1"/>
        <v>34</v>
      </c>
      <c r="B37" s="11" t="s">
        <v>54</v>
      </c>
      <c r="C37" s="11">
        <f>'[1]食,耗,包材成本'!E35/2</f>
        <v>15</v>
      </c>
      <c r="D37" s="11" t="s">
        <v>9</v>
      </c>
      <c r="E37" s="23">
        <f>'[1]食,耗,包材成本'!G35</f>
        <v>65</v>
      </c>
      <c r="F37" s="13">
        <f t="shared" si="2"/>
        <v>4.333333333333333</v>
      </c>
      <c r="G37" s="11" t="s">
        <v>10</v>
      </c>
      <c r="H37" s="11"/>
      <c r="I37" s="14" t="s">
        <v>55</v>
      </c>
    </row>
    <row r="38" spans="1:9" ht="30" customHeight="1" thickTop="1" thickBot="1" x14ac:dyDescent="0.45">
      <c r="A38" s="10">
        <f t="shared" si="1"/>
        <v>35</v>
      </c>
      <c r="B38" s="11" t="s">
        <v>56</v>
      </c>
      <c r="C38" s="11">
        <v>20</v>
      </c>
      <c r="D38" s="11" t="s">
        <v>53</v>
      </c>
      <c r="E38" s="12">
        <f>'[1]食,耗,包材成本'!G33</f>
        <v>125</v>
      </c>
      <c r="F38" s="13">
        <f>E38/C38</f>
        <v>6.25</v>
      </c>
      <c r="G38" s="11" t="s">
        <v>57</v>
      </c>
      <c r="H38" s="11"/>
      <c r="I38" s="14"/>
    </row>
    <row r="39" spans="1:9" ht="30" customHeight="1" thickTop="1" thickBot="1" x14ac:dyDescent="0.45">
      <c r="A39" s="10">
        <f t="shared" si="1"/>
        <v>36</v>
      </c>
      <c r="B39" s="11" t="s">
        <v>58</v>
      </c>
      <c r="C39" s="11">
        <f>'[1]食,耗,包材成本'!C30/2</f>
        <v>5</v>
      </c>
      <c r="D39" s="11" t="s">
        <v>9</v>
      </c>
      <c r="E39" s="12">
        <f>'[1]食,耗,包材成本'!G30</f>
        <v>60</v>
      </c>
      <c r="F39" s="13">
        <f>E39/C39</f>
        <v>12</v>
      </c>
      <c r="G39" s="11" t="s">
        <v>10</v>
      </c>
      <c r="H39" s="11"/>
      <c r="I39" s="14" t="s">
        <v>55</v>
      </c>
    </row>
    <row r="40" spans="1:9" ht="30" customHeight="1" thickTop="1" thickBot="1" x14ac:dyDescent="0.45">
      <c r="A40" s="10">
        <f t="shared" si="1"/>
        <v>37</v>
      </c>
      <c r="B40" s="11" t="s">
        <v>59</v>
      </c>
      <c r="C40" s="11">
        <f>'[1]食,耗,包材成本'!C4/3</f>
        <v>8</v>
      </c>
      <c r="D40" s="11" t="s">
        <v>9</v>
      </c>
      <c r="E40" s="12">
        <f>'[1]食,耗,包材成本'!G4</f>
        <v>38</v>
      </c>
      <c r="F40" s="13">
        <f>E40/C40</f>
        <v>4.75</v>
      </c>
      <c r="G40" s="11" t="s">
        <v>10</v>
      </c>
      <c r="H40" s="11"/>
      <c r="I40" s="14" t="s">
        <v>60</v>
      </c>
    </row>
    <row r="41" spans="1:9" ht="30" customHeight="1" thickTop="1" thickBot="1" x14ac:dyDescent="0.45">
      <c r="A41" s="10">
        <f t="shared" si="1"/>
        <v>38</v>
      </c>
      <c r="B41" s="11" t="s">
        <v>61</v>
      </c>
      <c r="C41" s="11">
        <v>1</v>
      </c>
      <c r="D41" s="11" t="s">
        <v>53</v>
      </c>
      <c r="E41" s="12">
        <f>'[1]食,耗,包材成本'!K51</f>
        <v>35.979999999999997</v>
      </c>
      <c r="F41" s="13">
        <f>E41/C41</f>
        <v>35.979999999999997</v>
      </c>
      <c r="G41" s="11" t="s">
        <v>10</v>
      </c>
      <c r="H41" s="11"/>
      <c r="I41" s="14"/>
    </row>
    <row r="42" spans="1:9" ht="30" customHeight="1" thickTop="1" thickBot="1" x14ac:dyDescent="0.45">
      <c r="A42" s="10">
        <f t="shared" si="1"/>
        <v>39</v>
      </c>
      <c r="B42" s="11" t="s">
        <v>62</v>
      </c>
      <c r="C42" s="11">
        <f>'[1]食,耗,包材成本'!E18</f>
        <v>100</v>
      </c>
      <c r="D42" s="11" t="s">
        <v>50</v>
      </c>
      <c r="E42" s="12">
        <f>'[1]食,耗,包材成本'!G18</f>
        <v>1170</v>
      </c>
      <c r="F42" s="13">
        <f>E42/C42</f>
        <v>11.7</v>
      </c>
      <c r="G42" s="11" t="s">
        <v>63</v>
      </c>
      <c r="H42" s="11"/>
      <c r="I42" s="14"/>
    </row>
    <row r="43" spans="1:9" ht="26" customHeight="1" thickTop="1" thickBot="1" x14ac:dyDescent="0.45">
      <c r="A43" s="10">
        <f t="shared" si="1"/>
        <v>40</v>
      </c>
      <c r="B43" s="11" t="s">
        <v>64</v>
      </c>
      <c r="C43" s="11">
        <f>'[1]食,耗,包材成本'!C87/310</f>
        <v>8.064516129032258</v>
      </c>
      <c r="D43" s="11" t="s">
        <v>9</v>
      </c>
      <c r="E43" s="12">
        <f>'[1]食,耗,包材成本'!G87</f>
        <v>45</v>
      </c>
      <c r="F43" s="13">
        <f>E43/C43</f>
        <v>5.58</v>
      </c>
      <c r="G43" s="11" t="s">
        <v>65</v>
      </c>
      <c r="H43" s="11"/>
      <c r="I43" s="14"/>
    </row>
    <row r="44" spans="1:9" ht="19" thickTop="1" thickBot="1" x14ac:dyDescent="0.45">
      <c r="A44" s="10">
        <f t="shared" si="1"/>
        <v>41</v>
      </c>
      <c r="B44" s="11" t="s">
        <v>66</v>
      </c>
      <c r="C44" s="12">
        <f>'[1]食,耗,包材成本'!C9/66</f>
        <v>24.242424242424242</v>
      </c>
      <c r="D44" s="11" t="s">
        <v>9</v>
      </c>
      <c r="E44" s="12">
        <f>'[1]食,耗,包材成本'!G9</f>
        <v>180</v>
      </c>
      <c r="F44" s="13">
        <f>E44/C44</f>
        <v>7.4249999999999998</v>
      </c>
      <c r="G44" s="11" t="s">
        <v>65</v>
      </c>
      <c r="H44" s="11"/>
      <c r="I44" s="14"/>
    </row>
    <row r="45" spans="1:9" ht="19" thickTop="1" thickBot="1" x14ac:dyDescent="0.45">
      <c r="A45" s="10">
        <f t="shared" si="1"/>
        <v>42</v>
      </c>
      <c r="B45" s="11" t="s">
        <v>67</v>
      </c>
      <c r="C45" s="11">
        <f>'[1]食,耗,包材成本'!C20/7</f>
        <v>142.85714285714286</v>
      </c>
      <c r="D45" s="11" t="s">
        <v>9</v>
      </c>
      <c r="E45" s="12">
        <f>'[1]食,耗,包材成本'!G20</f>
        <v>95</v>
      </c>
      <c r="F45" s="13">
        <f>E45/C45</f>
        <v>0.66500000000000004</v>
      </c>
      <c r="G45" s="11" t="s">
        <v>10</v>
      </c>
      <c r="H45" s="11"/>
      <c r="I45" s="14" t="s">
        <v>68</v>
      </c>
    </row>
    <row r="46" spans="1:9" ht="19" thickTop="1" thickBot="1" x14ac:dyDescent="0.45">
      <c r="A46" s="10">
        <f t="shared" si="1"/>
        <v>43</v>
      </c>
      <c r="B46" s="11" t="s">
        <v>69</v>
      </c>
      <c r="C46" s="11">
        <f>'[1]食,耗,包材成本'!E36/9</f>
        <v>111.11111111111111</v>
      </c>
      <c r="D46" s="11" t="s">
        <v>9</v>
      </c>
      <c r="E46" s="12">
        <f>'[1]食,耗,包材成本'!G36</f>
        <v>60</v>
      </c>
      <c r="F46" s="13">
        <f>E46/C46</f>
        <v>0.54</v>
      </c>
      <c r="G46" s="11" t="s">
        <v>10</v>
      </c>
      <c r="H46" s="11"/>
      <c r="I46" s="14" t="s">
        <v>70</v>
      </c>
    </row>
    <row r="47" spans="1:9" ht="19" thickTop="1" thickBot="1" x14ac:dyDescent="0.45">
      <c r="A47" s="10">
        <f t="shared" si="1"/>
        <v>44</v>
      </c>
      <c r="B47" s="11" t="s">
        <v>71</v>
      </c>
      <c r="C47" s="11">
        <f>'[1]食,耗,包材成本'!C62/10</f>
        <v>50</v>
      </c>
      <c r="D47" s="11" t="s">
        <v>9</v>
      </c>
      <c r="E47" s="12">
        <f>'[1]食,耗,包材成本'!G62</f>
        <v>85</v>
      </c>
      <c r="F47" s="13">
        <f>E47/C47</f>
        <v>1.7</v>
      </c>
      <c r="G47" s="11" t="s">
        <v>10</v>
      </c>
      <c r="H47" s="11"/>
      <c r="I47" s="14" t="s">
        <v>72</v>
      </c>
    </row>
    <row r="48" spans="1:9" ht="19" thickTop="1" thickBot="1" x14ac:dyDescent="0.45">
      <c r="A48" s="10">
        <f t="shared" si="1"/>
        <v>45</v>
      </c>
      <c r="B48" s="11"/>
      <c r="C48" s="11"/>
      <c r="D48" s="11"/>
      <c r="E48" s="12"/>
      <c r="F48" s="13"/>
      <c r="G48" s="11"/>
      <c r="H48" s="11"/>
      <c r="I48" s="14"/>
    </row>
    <row r="49" spans="1:9" ht="19" thickTop="1" thickBot="1" x14ac:dyDescent="0.45">
      <c r="A49" s="10">
        <f t="shared" si="1"/>
        <v>46</v>
      </c>
      <c r="B49" s="11"/>
      <c r="C49" s="11"/>
      <c r="D49" s="11"/>
      <c r="E49" s="12"/>
      <c r="F49" s="13"/>
      <c r="G49" s="11"/>
      <c r="H49" s="11"/>
      <c r="I49" s="14"/>
    </row>
    <row r="50" spans="1:9" ht="17.5" thickTop="1" x14ac:dyDescent="0.4"/>
  </sheetData>
  <mergeCells count="8">
    <mergeCell ref="A1:I1"/>
    <mergeCell ref="A2:A3"/>
    <mergeCell ref="B2:B3"/>
    <mergeCell ref="C2:D3"/>
    <mergeCell ref="E2:E3"/>
    <mergeCell ref="F2:G3"/>
    <mergeCell ref="H2:H3"/>
    <mergeCell ref="I2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林冠丞</dc:creator>
  <cp:lastModifiedBy>林冠丞</cp:lastModifiedBy>
  <dcterms:created xsi:type="dcterms:W3CDTF">2026-04-03T13:55:08Z</dcterms:created>
  <dcterms:modified xsi:type="dcterms:W3CDTF">2026-04-03T13:55:27Z</dcterms:modified>
</cp:coreProperties>
</file>